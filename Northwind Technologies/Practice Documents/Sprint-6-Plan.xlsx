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Team capacity" sheetId="2" r:id="rId5"/>
    <sheet state="visible" name="Sprint 6" sheetId="3" r:id="rId6"/>
  </sheets>
  <definedNames/>
  <calcPr/>
</workbook>
</file>

<file path=xl/sharedStrings.xml><?xml version="1.0" encoding="utf-8"?>
<sst xmlns="http://schemas.openxmlformats.org/spreadsheetml/2006/main" count="154" uniqueCount="93">
  <si>
    <t>Effort</t>
  </si>
  <si>
    <t>Item ID</t>
  </si>
  <si>
    <t>Type</t>
  </si>
  <si>
    <t>Product Backlog Item</t>
  </si>
  <si>
    <t>Notes</t>
  </si>
  <si>
    <t>Priority</t>
  </si>
  <si>
    <t>Dependencies</t>
  </si>
  <si>
    <t>Story Points</t>
  </si>
  <si>
    <t>Planned  Sprint #</t>
  </si>
  <si>
    <t>ID_01</t>
  </si>
  <si>
    <t>User story</t>
  </si>
  <si>
    <t>User Login</t>
  </si>
  <si>
    <t>This is a fundamental feature required for any user interaction with the application. It must be implemented first as it serves as the basis for other functionalities.</t>
  </si>
  <si>
    <t>High</t>
  </si>
  <si>
    <t>None</t>
  </si>
  <si>
    <t>ID_02</t>
  </si>
  <si>
    <t>Profile Management</t>
  </si>
  <si>
    <t>Users need to manage their profiles after logging in</t>
  </si>
  <si>
    <t>ID_03</t>
  </si>
  <si>
    <t>Payment Integration</t>
  </si>
  <si>
    <t>Payment is a critical feature that should be completed early but requires users to be able to log in first.</t>
  </si>
  <si>
    <t>ID_04</t>
  </si>
  <si>
    <t>Order Tracking</t>
  </si>
  <si>
    <t>Tracking orders is essential once payment integration is complete</t>
  </si>
  <si>
    <t>ID_05</t>
  </si>
  <si>
    <t>Notifications</t>
  </si>
  <si>
    <t>Notifications enhance user engagement and rely on user profiles and login functionality.</t>
  </si>
  <si>
    <t>Medium</t>
  </si>
  <si>
    <t>User Login, Profile Management</t>
  </si>
  <si>
    <t>ID_06</t>
  </si>
  <si>
    <t>Reporting</t>
  </si>
  <si>
    <t>Reporting is crucial for tracking and analyzing data, which depends on order tracking.</t>
  </si>
  <si>
    <t>ID_07</t>
  </si>
  <si>
    <t>Dashboard</t>
  </si>
  <si>
    <t>The dashboard provides a comprehensive view of the data and requires reporting to be in place.</t>
  </si>
  <si>
    <t>Reporting, Profile Management</t>
  </si>
  <si>
    <t>ID_08</t>
  </si>
  <si>
    <t>Search Functionality</t>
  </si>
  <si>
    <t>Search functionality improves user experience</t>
  </si>
  <si>
    <t>ID_09</t>
  </si>
  <si>
    <t>User Settings</t>
  </si>
  <si>
    <t>User settings allow customization and require user profile management and login.</t>
  </si>
  <si>
    <t>ID_10</t>
  </si>
  <si>
    <t>Data Export</t>
  </si>
  <si>
    <t>Data export functionality depends on the reporting feature to provide the data to be exported.</t>
  </si>
  <si>
    <t>Low</t>
  </si>
  <si>
    <t>ID_11</t>
  </si>
  <si>
    <t>Chat Support</t>
  </si>
  <si>
    <t>Chat support enhances user support and requires user login.</t>
  </si>
  <si>
    <t>ID_12</t>
  </si>
  <si>
    <t>Analytics Integration</t>
  </si>
  <si>
    <t>Analytics integration depends on the reporting feature to provide data for analysis.</t>
  </si>
  <si>
    <t>ID_13</t>
  </si>
  <si>
    <t>Task</t>
  </si>
  <si>
    <t>Other</t>
  </si>
  <si>
    <t>Reset PW to Dev enviroment</t>
  </si>
  <si>
    <t>none</t>
  </si>
  <si>
    <t>ID_14</t>
  </si>
  <si>
    <t>Bug</t>
  </si>
  <si>
    <t>User Login button</t>
  </si>
  <si>
    <t>User login screen button is the wrong color</t>
  </si>
  <si>
    <t>Total Story points</t>
  </si>
  <si>
    <t>Aproximate number of sprints required to complete the project</t>
  </si>
  <si>
    <t>Total capacity</t>
  </si>
  <si>
    <t>Sprint</t>
  </si>
  <si>
    <t>Story Points Completed</t>
  </si>
  <si>
    <t>Name</t>
  </si>
  <si>
    <t>Role</t>
  </si>
  <si>
    <t>Availability</t>
  </si>
  <si>
    <t>Meetings</t>
  </si>
  <si>
    <t>Hrs.</t>
  </si>
  <si>
    <t>Story points</t>
  </si>
  <si>
    <t>Sprint 1</t>
  </si>
  <si>
    <t>Sarah</t>
  </si>
  <si>
    <t>Developer</t>
  </si>
  <si>
    <t>Sprint 2</t>
  </si>
  <si>
    <t>John</t>
  </si>
  <si>
    <t>Sprint 3</t>
  </si>
  <si>
    <t>Mike</t>
  </si>
  <si>
    <t>Sprint 4</t>
  </si>
  <si>
    <t>Emily</t>
  </si>
  <si>
    <t>Tester</t>
  </si>
  <si>
    <t>Sprint 5</t>
  </si>
  <si>
    <t>Total capacity in hrs</t>
  </si>
  <si>
    <t>Average Sprint Velocity</t>
  </si>
  <si>
    <t xml:space="preserve">Estimated Sprint 6 team capacity </t>
  </si>
  <si>
    <t>task ID</t>
  </si>
  <si>
    <t>Item type</t>
  </si>
  <si>
    <t xml:space="preserve">Item </t>
  </si>
  <si>
    <t>Description</t>
  </si>
  <si>
    <t>Estimated Effort (story points)</t>
  </si>
  <si>
    <t>Total story points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</si>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</sst>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>
      <b/>
      <sz val="11.0"/>
      <color theme="0"/>
      <name val="Aptos Narrow"/>
    </font>
    <font>
      <b/>
      <sz val="12.0"/>
      <color theme="0"/>
      <name val="Aptos"/>
    </font>
    <font>
      <sz val="12.0"/>
      <color theme="1"/>
      <name val="Aptos"/>
    </font>
    <font>
      <sz val="11.0"/>
      <color rgb="FF9C0006"/>
      <name val="Aptos Narrow"/>
    </font>
    <font>
      <b/>
      <sz val="12.0"/>
      <color theme="1"/>
      <name val="Aptos"/>
    </font>
    <font/>
    <font>
      <b/>
      <sz val="11.0"/>
      <color theme="1"/>
      <name val="Aptos Narrow"/>
    </font>
    <font>
      <sz val="11.0"/>
      <color theme="1"/>
      <name val="Aptos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horizontal="center" vertical="center"/>
    </xf>
    <xf borderId="0" fillId="0" fontId="5" numFmtId="0" xfId="0" applyFont="1"/>
    <xf borderId="4" fillId="0" fontId="4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5" fillId="3" fontId="1" numFmtId="0" xfId="0" applyAlignment="1" applyBorder="1" applyFill="1" applyFont="1">
      <alignment horizontal="center"/>
    </xf>
    <xf borderId="6" fillId="3" fontId="1" numFmtId="0" xfId="0" applyAlignment="1" applyBorder="1" applyFont="1">
      <alignment horizontal="center"/>
    </xf>
    <xf borderId="2" fillId="3" fontId="6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horizontal="center" vertical="center"/>
    </xf>
    <xf borderId="3" fillId="3" fontId="6" numFmtId="0" xfId="0" applyBorder="1" applyFont="1"/>
    <xf borderId="7" fillId="0" fontId="7" numFmtId="0" xfId="0" applyBorder="1" applyFont="1"/>
    <xf borderId="8" fillId="3" fontId="1" numFmtId="0" xfId="0" applyAlignment="1" applyBorder="1" applyFont="1">
      <alignment horizontal="center"/>
    </xf>
    <xf borderId="3" fillId="3" fontId="4" numFmtId="0" xfId="0" applyBorder="1" applyFont="1"/>
    <xf borderId="9" fillId="2" fontId="1" numFmtId="0" xfId="0" applyAlignment="1" applyBorder="1" applyFont="1">
      <alignment horizontal="center"/>
    </xf>
    <xf borderId="10" fillId="0" fontId="7" numFmtId="0" xfId="0" applyBorder="1" applyFont="1"/>
    <xf borderId="4" fillId="0" fontId="7" numFmtId="0" xfId="0" applyBorder="1" applyFont="1"/>
    <xf borderId="9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shrinkToFit="0" vertical="center" wrapText="1"/>
    </xf>
    <xf borderId="2" fillId="2" fontId="2" numFmtId="0" xfId="0" applyBorder="1" applyFont="1"/>
    <xf borderId="2" fillId="2" fontId="2" numFmtId="0" xfId="0" applyAlignment="1" applyBorder="1" applyFont="1">
      <alignment horizontal="center" vertical="center"/>
    </xf>
    <xf borderId="2" fillId="0" fontId="1" numFmtId="0" xfId="0" applyBorder="1" applyFont="1"/>
    <xf borderId="2" fillId="0" fontId="1" numFmtId="1" xfId="0" applyBorder="1" applyFont="1" applyNumberFormat="1"/>
    <xf borderId="9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vertical="center"/>
    </xf>
    <xf borderId="2" fillId="2" fontId="2" numFmtId="1" xfId="0" applyAlignment="1" applyBorder="1" applyFont="1" applyNumberFormat="1">
      <alignment vertical="center"/>
    </xf>
    <xf borderId="2" fillId="3" fontId="8" numFmtId="0" xfId="0" applyAlignment="1" applyBorder="1" applyFont="1">
      <alignment shrinkToFit="0" vertical="center" wrapText="1"/>
    </xf>
    <xf borderId="2" fillId="3" fontId="8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center" shrinkToFit="0" vertical="center" wrapText="1"/>
    </xf>
    <xf borderId="13" fillId="2" fontId="2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7.88"/>
    <col customWidth="1" min="4" max="4" width="37.25"/>
    <col customWidth="1" min="5" max="5" width="8.63"/>
    <col customWidth="1" min="6" max="6" width="16.75"/>
    <col customWidth="1" min="7" max="7" width="10.88"/>
    <col customWidth="1" min="8" max="8" width="11.88"/>
    <col customWidth="1" min="9" max="26" width="8.63"/>
  </cols>
  <sheetData>
    <row r="1" ht="14.25" customHeight="1">
      <c r="A1" s="1"/>
      <c r="B1" s="1"/>
      <c r="C1" s="1"/>
      <c r="D1" s="1"/>
      <c r="E1" s="1"/>
      <c r="F1" s="1"/>
      <c r="G1" s="2" t="s">
        <v>0</v>
      </c>
      <c r="H1" s="1"/>
    </row>
    <row r="2" ht="14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</row>
    <row r="3" ht="14.25" customHeight="1">
      <c r="A3" s="5" t="s">
        <v>9</v>
      </c>
      <c r="B3" s="6" t="s">
        <v>10</v>
      </c>
      <c r="C3" s="7" t="s">
        <v>11</v>
      </c>
      <c r="D3" s="8" t="s">
        <v>12</v>
      </c>
      <c r="E3" s="9" t="s">
        <v>13</v>
      </c>
      <c r="F3" s="10" t="s">
        <v>14</v>
      </c>
      <c r="G3" s="9">
        <v>8.0</v>
      </c>
      <c r="H3" s="11"/>
      <c r="L3" s="12"/>
    </row>
    <row r="4" ht="51.0" customHeight="1">
      <c r="A4" s="5" t="s">
        <v>15</v>
      </c>
      <c r="B4" s="6" t="s">
        <v>10</v>
      </c>
      <c r="C4" s="7" t="s">
        <v>16</v>
      </c>
      <c r="D4" s="10" t="s">
        <v>17</v>
      </c>
      <c r="E4" s="9" t="s">
        <v>13</v>
      </c>
      <c r="F4" s="10" t="s">
        <v>11</v>
      </c>
      <c r="G4" s="9">
        <v>13.0</v>
      </c>
      <c r="H4" s="11"/>
    </row>
    <row r="5" ht="14.25" customHeight="1">
      <c r="A5" s="5" t="s">
        <v>18</v>
      </c>
      <c r="B5" s="6" t="s">
        <v>10</v>
      </c>
      <c r="C5" s="7" t="s">
        <v>19</v>
      </c>
      <c r="D5" s="10" t="s">
        <v>20</v>
      </c>
      <c r="E5" s="9" t="s">
        <v>13</v>
      </c>
      <c r="F5" s="10" t="s">
        <v>11</v>
      </c>
      <c r="G5" s="9">
        <v>21.0</v>
      </c>
      <c r="H5" s="13"/>
    </row>
    <row r="6" ht="51.75" customHeight="1">
      <c r="A6" s="5" t="s">
        <v>21</v>
      </c>
      <c r="B6" s="6" t="s">
        <v>10</v>
      </c>
      <c r="C6" s="7" t="s">
        <v>22</v>
      </c>
      <c r="D6" s="10" t="s">
        <v>23</v>
      </c>
      <c r="E6" s="9" t="s">
        <v>13</v>
      </c>
      <c r="F6" s="10" t="s">
        <v>19</v>
      </c>
      <c r="G6" s="9">
        <v>5.0</v>
      </c>
      <c r="H6" s="13"/>
    </row>
    <row r="7" ht="14.25" customHeight="1">
      <c r="A7" s="5" t="s">
        <v>24</v>
      </c>
      <c r="B7" s="6" t="s">
        <v>10</v>
      </c>
      <c r="C7" s="7" t="s">
        <v>25</v>
      </c>
      <c r="D7" s="10" t="s">
        <v>26</v>
      </c>
      <c r="E7" s="9" t="s">
        <v>27</v>
      </c>
      <c r="F7" s="10" t="s">
        <v>28</v>
      </c>
      <c r="G7" s="9">
        <v>8.0</v>
      </c>
      <c r="H7" s="13"/>
    </row>
    <row r="8" ht="14.25" customHeight="1">
      <c r="A8" s="5" t="s">
        <v>29</v>
      </c>
      <c r="B8" s="6" t="s">
        <v>10</v>
      </c>
      <c r="C8" s="7" t="s">
        <v>30</v>
      </c>
      <c r="D8" s="10" t="s">
        <v>31</v>
      </c>
      <c r="E8" s="9" t="s">
        <v>27</v>
      </c>
      <c r="F8" s="10" t="s">
        <v>22</v>
      </c>
      <c r="G8" s="9">
        <v>13.0</v>
      </c>
      <c r="H8" s="13"/>
    </row>
    <row r="9" ht="14.25" customHeight="1">
      <c r="A9" s="5" t="s">
        <v>32</v>
      </c>
      <c r="B9" s="6" t="s">
        <v>10</v>
      </c>
      <c r="C9" s="7" t="s">
        <v>33</v>
      </c>
      <c r="D9" s="10" t="s">
        <v>34</v>
      </c>
      <c r="E9" s="9" t="s">
        <v>27</v>
      </c>
      <c r="F9" s="10" t="s">
        <v>35</v>
      </c>
      <c r="G9" s="9">
        <v>21.0</v>
      </c>
      <c r="H9" s="13"/>
    </row>
    <row r="10" ht="14.25" customHeight="1">
      <c r="A10" s="5" t="s">
        <v>36</v>
      </c>
      <c r="B10" s="6" t="s">
        <v>10</v>
      </c>
      <c r="C10" s="7" t="s">
        <v>37</v>
      </c>
      <c r="D10" s="10" t="s">
        <v>38</v>
      </c>
      <c r="E10" s="9" t="s">
        <v>27</v>
      </c>
      <c r="F10" s="10" t="s">
        <v>14</v>
      </c>
      <c r="G10" s="9">
        <v>8.0</v>
      </c>
      <c r="H10" s="13"/>
    </row>
    <row r="11" ht="14.25" customHeight="1">
      <c r="A11" s="5" t="s">
        <v>39</v>
      </c>
      <c r="B11" s="6" t="s">
        <v>10</v>
      </c>
      <c r="C11" s="7" t="s">
        <v>40</v>
      </c>
      <c r="D11" s="10" t="s">
        <v>41</v>
      </c>
      <c r="E11" s="9" t="s">
        <v>27</v>
      </c>
      <c r="F11" s="10" t="s">
        <v>28</v>
      </c>
      <c r="G11" s="9">
        <v>5.0</v>
      </c>
      <c r="H11" s="11"/>
    </row>
    <row r="12" ht="14.25" customHeight="1">
      <c r="A12" s="5" t="s">
        <v>42</v>
      </c>
      <c r="B12" s="6" t="s">
        <v>10</v>
      </c>
      <c r="C12" s="7" t="s">
        <v>43</v>
      </c>
      <c r="D12" s="10" t="s">
        <v>44</v>
      </c>
      <c r="E12" s="9" t="s">
        <v>45</v>
      </c>
      <c r="F12" s="10" t="s">
        <v>30</v>
      </c>
      <c r="G12" s="9">
        <v>5.0</v>
      </c>
      <c r="H12" s="13"/>
    </row>
    <row r="13" ht="14.25" customHeight="1">
      <c r="A13" s="5" t="s">
        <v>46</v>
      </c>
      <c r="B13" s="6" t="s">
        <v>10</v>
      </c>
      <c r="C13" s="7" t="s">
        <v>47</v>
      </c>
      <c r="D13" s="10" t="s">
        <v>48</v>
      </c>
      <c r="E13" s="9" t="s">
        <v>45</v>
      </c>
      <c r="F13" s="10" t="s">
        <v>11</v>
      </c>
      <c r="G13" s="9">
        <v>13.0</v>
      </c>
      <c r="H13" s="13"/>
    </row>
    <row r="14" ht="14.25" customHeight="1">
      <c r="A14" s="5" t="s">
        <v>49</v>
      </c>
      <c r="B14" s="6" t="s">
        <v>10</v>
      </c>
      <c r="C14" s="7" t="s">
        <v>50</v>
      </c>
      <c r="D14" s="10" t="s">
        <v>51</v>
      </c>
      <c r="E14" s="9" t="s">
        <v>45</v>
      </c>
      <c r="F14" s="10" t="s">
        <v>30</v>
      </c>
      <c r="G14" s="9">
        <v>5.0</v>
      </c>
      <c r="H14" s="13"/>
    </row>
    <row r="15" ht="14.25" customHeight="1">
      <c r="A15" s="5" t="s">
        <v>52</v>
      </c>
      <c r="B15" s="14" t="s">
        <v>53</v>
      </c>
      <c r="C15" s="7" t="s">
        <v>54</v>
      </c>
      <c r="D15" s="10" t="s">
        <v>55</v>
      </c>
      <c r="E15" s="9" t="s">
        <v>13</v>
      </c>
      <c r="F15" s="10" t="s">
        <v>56</v>
      </c>
      <c r="G15" s="9">
        <v>1.0</v>
      </c>
      <c r="H15" s="13"/>
    </row>
    <row r="16" ht="14.25" customHeight="1">
      <c r="A16" s="5" t="s">
        <v>57</v>
      </c>
      <c r="B16" s="14" t="s">
        <v>58</v>
      </c>
      <c r="C16" s="7" t="s">
        <v>59</v>
      </c>
      <c r="D16" s="10" t="s">
        <v>60</v>
      </c>
      <c r="E16" s="9" t="s">
        <v>13</v>
      </c>
      <c r="F16" s="10" t="s">
        <v>56</v>
      </c>
      <c r="G16" s="9">
        <v>2.0</v>
      </c>
      <c r="H16" s="13"/>
    </row>
    <row r="17" ht="14.25" customHeight="1">
      <c r="A17" s="15"/>
      <c r="B17" s="16"/>
      <c r="C17" s="15"/>
      <c r="D17" s="17" t="s">
        <v>61</v>
      </c>
      <c r="E17" s="18"/>
      <c r="F17" s="18"/>
      <c r="G17" s="18">
        <f>SUM(G3:G16)</f>
        <v>128</v>
      </c>
      <c r="H17" s="19"/>
    </row>
    <row r="18" ht="14.25" customHeight="1">
      <c r="A18" s="20"/>
      <c r="B18" s="21"/>
      <c r="C18" s="20"/>
      <c r="D18" s="17" t="s">
        <v>62</v>
      </c>
      <c r="E18" s="18"/>
      <c r="F18" s="18"/>
      <c r="G18" s="18"/>
      <c r="H18" s="2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7:A18"/>
    <mergeCell ref="C17:C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11.63"/>
    <col customWidth="1" min="3" max="3" width="11.38"/>
    <col customWidth="1" min="4" max="4" width="11.75"/>
    <col customWidth="1" min="5" max="5" width="10.88"/>
    <col customWidth="1" min="6" max="6" width="13.63"/>
    <col customWidth="1" min="7" max="7" width="8.63"/>
    <col customWidth="1" min="8" max="8" width="23.63"/>
    <col customWidth="1" min="9" max="9" width="21.75"/>
    <col customWidth="1" min="10" max="26" width="8.63"/>
  </cols>
  <sheetData>
    <row r="1" ht="14.25" customHeight="1">
      <c r="A1" s="23"/>
      <c r="B1" s="24"/>
      <c r="C1" s="24"/>
      <c r="D1" s="25"/>
      <c r="E1" s="26" t="s">
        <v>63</v>
      </c>
      <c r="F1" s="25"/>
      <c r="H1" s="27" t="s">
        <v>64</v>
      </c>
      <c r="I1" s="27" t="s">
        <v>65</v>
      </c>
    </row>
    <row r="2" ht="14.25" customHeight="1">
      <c r="A2" s="28" t="s">
        <v>66</v>
      </c>
      <c r="B2" s="28" t="s">
        <v>67</v>
      </c>
      <c r="C2" s="29" t="s">
        <v>68</v>
      </c>
      <c r="D2" s="29" t="s">
        <v>69</v>
      </c>
      <c r="E2" s="29" t="s">
        <v>70</v>
      </c>
      <c r="F2" s="29" t="s">
        <v>71</v>
      </c>
      <c r="H2" s="10" t="s">
        <v>72</v>
      </c>
      <c r="I2" s="6">
        <v>20.0</v>
      </c>
    </row>
    <row r="3" ht="14.25" customHeight="1">
      <c r="A3" s="30" t="s">
        <v>73</v>
      </c>
      <c r="B3" s="30" t="s">
        <v>74</v>
      </c>
      <c r="C3" s="30">
        <v>40.0</v>
      </c>
      <c r="D3" s="30">
        <v>6.25</v>
      </c>
      <c r="E3" s="30">
        <f t="shared" ref="E3:E6" si="1">C3-D3</f>
        <v>33.75</v>
      </c>
      <c r="F3" s="31">
        <f t="shared" ref="F3:F6" si="2">E3/4</f>
        <v>8.4375</v>
      </c>
      <c r="H3" s="10" t="s">
        <v>75</v>
      </c>
      <c r="I3" s="6">
        <v>25.0</v>
      </c>
    </row>
    <row r="4" ht="14.25" customHeight="1">
      <c r="A4" s="30" t="s">
        <v>76</v>
      </c>
      <c r="B4" s="30" t="s">
        <v>74</v>
      </c>
      <c r="C4" s="30">
        <v>32.0</v>
      </c>
      <c r="D4" s="30">
        <v>4.0</v>
      </c>
      <c r="E4" s="30">
        <f t="shared" si="1"/>
        <v>28</v>
      </c>
      <c r="F4" s="31">
        <f t="shared" si="2"/>
        <v>7</v>
      </c>
      <c r="H4" s="10" t="s">
        <v>77</v>
      </c>
      <c r="I4" s="6">
        <v>22.0</v>
      </c>
    </row>
    <row r="5" ht="14.25" customHeight="1">
      <c r="A5" s="30" t="s">
        <v>78</v>
      </c>
      <c r="B5" s="30" t="s">
        <v>74</v>
      </c>
      <c r="C5" s="30">
        <v>40.0</v>
      </c>
      <c r="D5" s="30">
        <v>6.25</v>
      </c>
      <c r="E5" s="30">
        <f t="shared" si="1"/>
        <v>33.75</v>
      </c>
      <c r="F5" s="31">
        <f t="shared" si="2"/>
        <v>8.4375</v>
      </c>
      <c r="H5" s="10" t="s">
        <v>79</v>
      </c>
      <c r="I5" s="6">
        <v>30.0</v>
      </c>
    </row>
    <row r="6" ht="14.25" customHeight="1">
      <c r="A6" s="30" t="s">
        <v>80</v>
      </c>
      <c r="B6" s="30" t="s">
        <v>81</v>
      </c>
      <c r="C6" s="30">
        <v>40.0</v>
      </c>
      <c r="D6" s="30">
        <v>6.25</v>
      </c>
      <c r="E6" s="30">
        <f t="shared" si="1"/>
        <v>33.75</v>
      </c>
      <c r="F6" s="31">
        <f t="shared" si="2"/>
        <v>8.4375</v>
      </c>
      <c r="H6" s="10" t="s">
        <v>82</v>
      </c>
      <c r="I6" s="6">
        <v>28.0</v>
      </c>
    </row>
    <row r="7" ht="14.25" customHeight="1">
      <c r="A7" s="32" t="s">
        <v>83</v>
      </c>
      <c r="B7" s="24"/>
      <c r="C7" s="24"/>
      <c r="D7" s="25"/>
      <c r="E7" s="33">
        <f t="shared" ref="E7:F7" si="3">SUM(E3:E6)</f>
        <v>129.25</v>
      </c>
      <c r="F7" s="34">
        <f t="shared" si="3"/>
        <v>32.3125</v>
      </c>
      <c r="H7" s="35" t="s">
        <v>84</v>
      </c>
      <c r="I7" s="36">
        <f>SUM(AVERAGE(I2:I6))</f>
        <v>25</v>
      </c>
    </row>
    <row r="8" ht="14.25" customHeight="1"/>
    <row r="9" ht="14.25" customHeight="1">
      <c r="A9" s="26" t="s">
        <v>85</v>
      </c>
      <c r="B9" s="24"/>
      <c r="C9" s="24"/>
      <c r="D9" s="24"/>
      <c r="E9" s="25"/>
      <c r="F9" s="28">
        <v>28.0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D1"/>
    <mergeCell ref="E1:F1"/>
    <mergeCell ref="A7:D7"/>
    <mergeCell ref="A9:E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63"/>
    <col customWidth="1" min="3" max="3" width="18.25"/>
    <col customWidth="1" min="4" max="4" width="40.88"/>
    <col customWidth="1" min="5" max="5" width="12.0"/>
    <col customWidth="1" min="6" max="6" width="16.63"/>
    <col customWidth="1" min="7" max="7" width="13.38"/>
    <col customWidth="1" min="8" max="26" width="8.63"/>
  </cols>
  <sheetData>
    <row r="1" ht="14.25" customHeight="1">
      <c r="A1" s="37" t="s">
        <v>86</v>
      </c>
      <c r="B1" s="38" t="s">
        <v>87</v>
      </c>
      <c r="C1" s="38" t="s">
        <v>88</v>
      </c>
      <c r="D1" s="38" t="s">
        <v>89</v>
      </c>
      <c r="E1" s="38" t="s">
        <v>5</v>
      </c>
      <c r="F1" s="39" t="s">
        <v>6</v>
      </c>
      <c r="G1" s="38" t="s">
        <v>90</v>
      </c>
    </row>
    <row r="2" ht="14.25" customHeight="1">
      <c r="A2" s="40" t="s">
        <v>9</v>
      </c>
      <c r="B2" s="41" t="s">
        <v>10</v>
      </c>
      <c r="C2" s="42" t="s">
        <v>11</v>
      </c>
      <c r="D2" s="42"/>
      <c r="E2" s="41" t="s">
        <v>13</v>
      </c>
      <c r="F2" s="42" t="s">
        <v>14</v>
      </c>
      <c r="G2" s="43">
        <v>8.0</v>
      </c>
    </row>
    <row r="3" ht="14.25" customHeight="1">
      <c r="A3" s="40" t="s">
        <v>15</v>
      </c>
      <c r="B3" s="41" t="s">
        <v>10</v>
      </c>
      <c r="C3" s="42" t="s">
        <v>16</v>
      </c>
      <c r="D3" s="42" t="s">
        <v>17</v>
      </c>
      <c r="E3" s="41" t="s">
        <v>13</v>
      </c>
      <c r="F3" s="42" t="s">
        <v>11</v>
      </c>
      <c r="G3" s="41">
        <v>13.0</v>
      </c>
    </row>
    <row r="4" ht="14.25" customHeight="1">
      <c r="A4" s="40" t="s">
        <v>39</v>
      </c>
      <c r="B4" s="41" t="s">
        <v>10</v>
      </c>
      <c r="C4" s="42" t="s">
        <v>40</v>
      </c>
      <c r="D4" s="42" t="s">
        <v>41</v>
      </c>
      <c r="E4" s="41" t="s">
        <v>27</v>
      </c>
      <c r="F4" s="42" t="s">
        <v>28</v>
      </c>
      <c r="G4" s="41">
        <v>5.0</v>
      </c>
    </row>
    <row r="5" ht="14.25" customHeight="1">
      <c r="A5" s="40" t="s">
        <v>57</v>
      </c>
      <c r="B5" s="44" t="s">
        <v>58</v>
      </c>
      <c r="C5" s="42" t="s">
        <v>59</v>
      </c>
      <c r="D5" s="42" t="s">
        <v>60</v>
      </c>
      <c r="E5" s="41" t="s">
        <v>13</v>
      </c>
      <c r="F5" s="42" t="s">
        <v>56</v>
      </c>
      <c r="G5" s="41">
        <v>2.0</v>
      </c>
    </row>
    <row r="6" ht="14.25" customHeight="1">
      <c r="A6" s="30"/>
      <c r="B6" s="30"/>
      <c r="C6" s="30"/>
      <c r="D6" s="30"/>
      <c r="E6" s="30"/>
      <c r="F6" s="30"/>
      <c r="G6" s="30"/>
    </row>
    <row r="7" ht="14.25" customHeight="1">
      <c r="A7" s="30"/>
      <c r="B7" s="30"/>
      <c r="C7" s="30"/>
      <c r="D7" s="30"/>
      <c r="E7" s="30"/>
      <c r="F7" s="30"/>
      <c r="G7" s="30"/>
    </row>
    <row r="8" ht="14.25" customHeight="1">
      <c r="A8" s="30"/>
      <c r="B8" s="30"/>
      <c r="C8" s="30"/>
      <c r="D8" s="30"/>
      <c r="E8" s="30"/>
      <c r="F8" s="30"/>
      <c r="G8" s="30"/>
    </row>
    <row r="9" ht="14.25" customHeight="1">
      <c r="A9" s="26" t="s">
        <v>91</v>
      </c>
      <c r="B9" s="24"/>
      <c r="C9" s="24"/>
      <c r="D9" s="24"/>
      <c r="E9" s="24"/>
      <c r="F9" s="25"/>
      <c r="G9" s="29">
        <f>SUM(G2:G8)</f>
        <v>28</v>
      </c>
    </row>
    <row r="10" ht="14.25" customHeight="1"/>
    <row r="11" ht="14.25" customHeight="1">
      <c r="F11" s="45" t="s">
        <v>92</v>
      </c>
    </row>
    <row r="12" ht="14.25" customHeight="1">
      <c r="F12" s="45" t="s">
        <v>92</v>
      </c>
    </row>
    <row r="13" ht="14.25" customHeight="1">
      <c r="F13" s="45" t="s">
        <v>92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9:F9"/>
  </mergeCells>
  <printOptions/>
  <pageMargins bottom="0.75" footer="0.0" header="0.0" left="0.7" right="0.7" top="0.75"/>
  <pageSetup orientation="landscape"/>
  <drawing r:id="rId1"/>
</worksheet>
</file>